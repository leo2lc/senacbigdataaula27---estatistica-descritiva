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onardo.lucas\Documents\Python Senac\Estatística Descritiva\aula_17\"/>
    </mc:Choice>
  </mc:AlternateContent>
  <xr:revisionPtr revIDLastSave="0" documentId="13_ncr:1_{C7193812-D276-48CB-85F2-F4C19F783A2F}" xr6:coauthVersionLast="47" xr6:coauthVersionMax="47" xr10:uidLastSave="{00000000-0000-0000-0000-000000000000}"/>
  <bookViews>
    <workbookView xWindow="-120" yWindow="-120" windowWidth="29040" windowHeight="15720" activeTab="1" xr2:uid="{780B8A1A-AD53-4E99-A45F-6190AFBCE2F7}"/>
  </bookViews>
  <sheets>
    <sheet name="Planilha1" sheetId="1" r:id="rId1"/>
    <sheet name="Planilh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2" l="1"/>
  <c r="D2" i="2"/>
  <c r="D1" i="2"/>
  <c r="D18" i="1"/>
  <c r="C4" i="1"/>
  <c r="C3" i="1"/>
  <c r="C2" i="1"/>
  <c r="D3" i="1"/>
  <c r="D4" i="1"/>
  <c r="D2" i="1"/>
  <c r="D14" i="2" l="1"/>
</calcChain>
</file>

<file path=xl/sharedStrings.xml><?xml version="1.0" encoding="utf-8"?>
<sst xmlns="http://schemas.openxmlformats.org/spreadsheetml/2006/main" count="17" uniqueCount="17">
  <si>
    <t>CORRELAÇÃO</t>
  </si>
  <si>
    <t>dia</t>
  </si>
  <si>
    <t>qtde</t>
  </si>
  <si>
    <t>custo</t>
  </si>
  <si>
    <t>PREV_QTD_X</t>
  </si>
  <si>
    <t>PREV_CUSTO_Y</t>
  </si>
  <si>
    <t>VALORES</t>
  </si>
  <si>
    <t>f(y) =  ax + b</t>
  </si>
  <si>
    <t>Correlação</t>
  </si>
  <si>
    <t>Coeficiente Angular (a)
Inclinação da Reta</t>
  </si>
  <si>
    <t>Coeficiente Linear (b)
Interceptor</t>
  </si>
  <si>
    <t>Horas (X)</t>
  </si>
  <si>
    <t>Notas (Y)</t>
  </si>
  <si>
    <t>Horas X</t>
  </si>
  <si>
    <t>Nota Y</t>
  </si>
  <si>
    <t>COEFICIENTE ANGULAR</t>
  </si>
  <si>
    <t>COEFICIENTE 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</si>
</sst>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4"/>
      <color rgb="FFFF000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rgb="FFFF0000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 vertical="center" readingOrder="1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Planilha1!$D$5</c:f>
              <c:strCache>
                <c:ptCount val="1"/>
                <c:pt idx="0">
                  <c:v>custo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Planilha1!$C$6:$C$15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15</c:v>
                </c:pt>
                <c:pt idx="9">
                  <c:v>20</c:v>
                </c:pt>
              </c:numCache>
            </c:numRef>
          </c:xVal>
          <c:yVal>
            <c:numRef>
              <c:f>Planilha1!$D$6:$D$15</c:f>
              <c:numCache>
                <c:formatCode>General</c:formatCode>
                <c:ptCount val="10"/>
                <c:pt idx="0">
                  <c:v>50</c:v>
                </c:pt>
                <c:pt idx="1">
                  <c:v>80</c:v>
                </c:pt>
                <c:pt idx="2">
                  <c:v>100</c:v>
                </c:pt>
                <c:pt idx="3">
                  <c:v>115</c:v>
                </c:pt>
                <c:pt idx="4">
                  <c:v>132</c:v>
                </c:pt>
                <c:pt idx="5">
                  <c:v>155</c:v>
                </c:pt>
                <c:pt idx="6">
                  <c:v>170</c:v>
                </c:pt>
                <c:pt idx="7">
                  <c:v>198</c:v>
                </c:pt>
                <c:pt idx="8">
                  <c:v>355</c:v>
                </c:pt>
                <c:pt idx="9">
                  <c:v>460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BA-40B7-9A3A-A80E3F6BE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079472"/>
        <c:axId val="25078512"/>
      </c:scatterChart>
      <c:valAx>
        <c:axId val="2507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5078512"/>
        <c:crosses val="autoZero"/>
        <c:crossBetween val="midCat"/>
      </c:valAx>
      <c:valAx>
        <c:axId val="25078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5079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Planilha2!$D$5</c:f>
              <c:strCache>
                <c:ptCount val="1"/>
                <c:pt idx="0">
                  <c:v>Notas (Y)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Planilha2!$C$6:$C$10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</c:numCache>
            </c:numRef>
          </c:xVal>
          <c:yVal>
            <c:numRef>
              <c:f>Planilha2!$D$6:$D$10</c:f>
              <c:numCache>
                <c:formatCode>General</c:formatCode>
                <c:ptCount val="5"/>
                <c:pt idx="0">
                  <c:v>10</c:v>
                </c:pt>
                <c:pt idx="1">
                  <c:v>29</c:v>
                </c:pt>
                <c:pt idx="2">
                  <c:v>46</c:v>
                </c:pt>
                <c:pt idx="3">
                  <c:v>60</c:v>
                </c:pt>
                <c:pt idx="4">
                  <c:v>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55-4C13-AD7D-78CB36278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836656"/>
        <c:axId val="134837136"/>
      </c:scatterChart>
      <c:valAx>
        <c:axId val="13483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837136"/>
        <c:crosses val="autoZero"/>
        <c:crossBetween val="midCat"/>
      </c:valAx>
      <c:valAx>
        <c:axId val="134837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836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402648</xdr:colOff>
      <xdr:row>3</xdr:row>
      <xdr:rowOff>187037</xdr:rowOff>
    </xdr:from>
    <xdr:to>
      <xdr:col>13</xdr:col>
      <xdr:colOff>125557</xdr:colOff>
      <xdr:row>18</xdr:row>
      <xdr:rowOff>20782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0C06D55-BDC4-8572-916F-9E2625C210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1987113</xdr:colOff>
      <xdr:row>1</xdr:row>
      <xdr:rowOff>300201</xdr:rowOff>
    </xdr:from>
    <xdr:to>
      <xdr:col>11</xdr:col>
      <xdr:colOff>292320</xdr:colOff>
      <xdr:row>15</xdr:row>
      <xdr:rowOff>74229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F7F4145-6326-09C8-9973-D0E53B11B6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66932-9324-465B-8327-917C3CBF549D}">
  <dimension ref="B2:E18"/>
  <sheetViews>
    <sheetView showGridLines="0" zoomScale="110" zoomScaleNormal="110" workbookViewId="0">
      <selection activeCell="D18" sqref="D18"/>
    </sheetView>
  </sheetViews>
  <sheetFormatPr defaultRowHeight="15" x14ac:dyDescent="0.25"/>
  <cols>
    <col min="2" max="2" width="21.42578125" bestFit="1" customWidth="1"/>
    <col min="3" max="3" width="14.85546875" customWidth="1"/>
    <col min="4" max="4" width="16.7109375" customWidth="1"/>
    <col min="5" max="5" width="16.85546875" customWidth="1"/>
  </cols>
  <sheetData>
    <row r="2" spans="2:4" x14ac:dyDescent="0.25">
      <c r="B2" s="2" t="s">
        <v>0</v>
      </c>
      <c r="C2">
        <f>CORREL($C$6:$C$15,$D$6:$D$15)</f>
        <v>0.99956660063618041</v>
      </c>
      <c r="D2" s="15" t="str">
        <f ca="1">_xlfn.FORMULATEXT(C2)</f>
        <v>=CORREL($C$6:$C$15;$D$6:$D$15)</v>
      </c>
    </row>
    <row r="3" spans="2:4" x14ac:dyDescent="0.25">
      <c r="B3" t="s">
        <v>15</v>
      </c>
      <c r="C3">
        <f>SLOPE($D$6:$D$15,$C$6:$C$15)</f>
        <v>20.169790817712585</v>
      </c>
      <c r="D3" s="15" t="str">
        <f t="shared" ref="D3:D4" ca="1" si="0">_xlfn.FORMULATEXT(C3)</f>
        <v>=INCLINAÇÃO($D$6:$D$15;$C$6:$C$15)</v>
      </c>
    </row>
    <row r="4" spans="2:4" x14ac:dyDescent="0.25">
      <c r="B4" t="s">
        <v>16</v>
      </c>
      <c r="C4">
        <f>INTERCEPT($D$6:$D$15,$C$6:$C$15)</f>
        <v>54.430317848410724</v>
      </c>
      <c r="D4" s="15" t="str">
        <f t="shared" ca="1" si="0"/>
        <v>=INTERCEPÇÃO($D$6:$D$15;$C$6:$C$15)</v>
      </c>
    </row>
    <row r="5" spans="2:4" x14ac:dyDescent="0.25">
      <c r="B5" s="4" t="s">
        <v>1</v>
      </c>
      <c r="C5" s="4" t="s">
        <v>2</v>
      </c>
      <c r="D5" s="4" t="s">
        <v>3</v>
      </c>
    </row>
    <row r="6" spans="2:4" x14ac:dyDescent="0.25">
      <c r="B6" s="3">
        <v>1</v>
      </c>
      <c r="C6" s="3">
        <v>0</v>
      </c>
      <c r="D6" s="3">
        <v>50</v>
      </c>
    </row>
    <row r="7" spans="2:4" x14ac:dyDescent="0.25">
      <c r="B7" s="3">
        <v>2</v>
      </c>
      <c r="C7" s="3">
        <v>1</v>
      </c>
      <c r="D7" s="3">
        <v>80</v>
      </c>
    </row>
    <row r="8" spans="2:4" x14ac:dyDescent="0.25">
      <c r="B8" s="3">
        <v>3</v>
      </c>
      <c r="C8" s="3">
        <v>2</v>
      </c>
      <c r="D8" s="3">
        <v>100</v>
      </c>
    </row>
    <row r="9" spans="2:4" x14ac:dyDescent="0.25">
      <c r="B9" s="3">
        <v>4</v>
      </c>
      <c r="C9" s="3">
        <v>3</v>
      </c>
      <c r="D9" s="3">
        <v>115</v>
      </c>
    </row>
    <row r="10" spans="2:4" x14ac:dyDescent="0.25">
      <c r="B10" s="3">
        <v>5</v>
      </c>
      <c r="C10" s="3">
        <v>4</v>
      </c>
      <c r="D10" s="3">
        <v>132</v>
      </c>
    </row>
    <row r="11" spans="2:4" x14ac:dyDescent="0.25">
      <c r="B11" s="3">
        <v>6</v>
      </c>
      <c r="C11" s="3">
        <v>5</v>
      </c>
      <c r="D11" s="3">
        <v>155</v>
      </c>
    </row>
    <row r="12" spans="2:4" x14ac:dyDescent="0.25">
      <c r="B12" s="3">
        <v>7</v>
      </c>
      <c r="C12" s="3">
        <v>6</v>
      </c>
      <c r="D12" s="3">
        <v>170</v>
      </c>
    </row>
    <row r="13" spans="2:4" x14ac:dyDescent="0.25">
      <c r="B13" s="3">
        <v>8</v>
      </c>
      <c r="C13" s="3">
        <v>7</v>
      </c>
      <c r="D13" s="3">
        <v>198</v>
      </c>
    </row>
    <row r="14" spans="2:4" x14ac:dyDescent="0.25">
      <c r="B14" s="3">
        <v>9</v>
      </c>
      <c r="C14" s="3">
        <v>15</v>
      </c>
      <c r="D14" s="3">
        <v>355</v>
      </c>
    </row>
    <row r="15" spans="2:4" x14ac:dyDescent="0.25">
      <c r="B15" s="3">
        <v>10</v>
      </c>
      <c r="C15" s="3">
        <v>20</v>
      </c>
      <c r="D15" s="3">
        <v>460</v>
      </c>
    </row>
    <row r="17" spans="2:5" x14ac:dyDescent="0.25">
      <c r="C17" s="2" t="s">
        <v>4</v>
      </c>
      <c r="D17" s="2" t="s">
        <v>5</v>
      </c>
    </row>
    <row r="18" spans="2:5" ht="18.75" x14ac:dyDescent="0.3">
      <c r="B18" s="2" t="s">
        <v>6</v>
      </c>
      <c r="C18" s="1">
        <v>27</v>
      </c>
      <c r="D18">
        <f>(C3*C18)+C4</f>
        <v>599.01466992665053</v>
      </c>
      <c r="E18" s="5" t="s">
        <v>7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F3A66-D572-4E6F-BE9C-790215B43A34}">
  <dimension ref="B1:L14"/>
  <sheetViews>
    <sheetView showGridLines="0" tabSelected="1" zoomScale="145" zoomScaleNormal="145" workbookViewId="0">
      <selection activeCell="C19" sqref="C19"/>
    </sheetView>
  </sheetViews>
  <sheetFormatPr defaultRowHeight="15" x14ac:dyDescent="0.25"/>
  <cols>
    <col min="3" max="3" width="18.28515625" customWidth="1"/>
    <col min="4" max="4" width="29.85546875" customWidth="1"/>
  </cols>
  <sheetData>
    <row r="1" spans="2:12" x14ac:dyDescent="0.25">
      <c r="B1" s="6"/>
      <c r="C1" s="7" t="s">
        <v>8</v>
      </c>
      <c r="D1" s="8">
        <f>CORREL($C$6:$C$10,D6:D10)</f>
        <v>0.98368560145513861</v>
      </c>
      <c r="E1" s="9"/>
      <c r="F1" s="6"/>
      <c r="G1" s="6"/>
      <c r="H1" s="6"/>
      <c r="I1" s="6"/>
      <c r="J1" s="6"/>
      <c r="K1" s="6"/>
      <c r="L1" s="6"/>
    </row>
    <row r="2" spans="2:12" ht="24" x14ac:dyDescent="0.25">
      <c r="B2" s="6"/>
      <c r="C2" s="10" t="s">
        <v>9</v>
      </c>
      <c r="D2" s="11">
        <f>SLOPE($D$6:$D$10,$C$6:$C$10)</f>
        <v>8.8561643835616444</v>
      </c>
      <c r="E2" s="9"/>
      <c r="F2" s="6"/>
      <c r="G2" s="6"/>
      <c r="H2" s="6"/>
      <c r="I2" s="6"/>
      <c r="J2" s="6"/>
      <c r="K2" s="6"/>
      <c r="L2" s="6"/>
    </row>
    <row r="3" spans="2:12" ht="24" x14ac:dyDescent="0.25">
      <c r="B3" s="6"/>
      <c r="C3" s="10" t="s">
        <v>10</v>
      </c>
      <c r="D3" s="11">
        <f>INTERCEPT($D$6:$D$10,$C$6:$C$10)</f>
        <v>13.089041095890412</v>
      </c>
      <c r="E3" s="9"/>
      <c r="F3" s="6"/>
      <c r="G3" s="6"/>
      <c r="H3" s="6"/>
      <c r="I3" s="6"/>
      <c r="J3" s="6"/>
      <c r="K3" s="6"/>
      <c r="L3" s="6"/>
    </row>
    <row r="5" spans="2:12" x14ac:dyDescent="0.25">
      <c r="C5" s="12" t="s">
        <v>11</v>
      </c>
      <c r="D5" s="12" t="s">
        <v>12</v>
      </c>
    </row>
    <row r="6" spans="2:12" x14ac:dyDescent="0.25">
      <c r="C6" s="1">
        <v>0</v>
      </c>
      <c r="D6" s="1">
        <v>10</v>
      </c>
    </row>
    <row r="7" spans="2:12" x14ac:dyDescent="0.25">
      <c r="C7" s="1">
        <v>2</v>
      </c>
      <c r="D7" s="1">
        <v>29</v>
      </c>
    </row>
    <row r="8" spans="2:12" x14ac:dyDescent="0.25">
      <c r="C8" s="1">
        <v>3</v>
      </c>
      <c r="D8" s="1">
        <v>46</v>
      </c>
    </row>
    <row r="9" spans="2:12" x14ac:dyDescent="0.25">
      <c r="C9" s="1">
        <v>5</v>
      </c>
      <c r="D9" s="1">
        <v>60</v>
      </c>
    </row>
    <row r="10" spans="2:12" x14ac:dyDescent="0.25">
      <c r="C10" s="1">
        <v>7</v>
      </c>
      <c r="D10" s="1">
        <v>71</v>
      </c>
    </row>
    <row r="12" spans="2:12" ht="21" x14ac:dyDescent="0.25">
      <c r="E12" s="13"/>
    </row>
    <row r="13" spans="2:12" x14ac:dyDescent="0.25">
      <c r="C13" s="12" t="s">
        <v>13</v>
      </c>
      <c r="D13" s="12" t="s">
        <v>14</v>
      </c>
      <c r="E13" s="14"/>
    </row>
    <row r="14" spans="2:12" x14ac:dyDescent="0.25">
      <c r="C14" s="1">
        <v>10</v>
      </c>
      <c r="D14" s="1">
        <f>(D2*C14)+D3</f>
        <v>101.65068493150686</v>
      </c>
      <c r="E14" s="14"/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TEXTO_x002d_BASE_x0020_DO_x0020_ESTUDO xmlns="86243fb6-e625-4153-bf24-3dbb8808cb3e" xsi:nil="true"/>
    <Explique_x0020_a_x0020_rela_x00e7__x00e3_o_x0020_entre_x0020_institui_x00e7__x00f5_es_x0020_sociais_x0020_e_x0020_processos_x0020_de_x0020_socializa_x00e7__x00e3_o_x0020_na_x0020_forma_x00e7__x00e3_o_x0020_dos_x0020_comportamentos_x0020_observados_x0020_no_x0020_texto_x002e_ xmlns="86243fb6-e625-4153-bf24-3dbb8808cb3e"/>
    <Eduarda_x002c_Lohanaevilma xmlns="86243fb6-e625-4153-bf24-3dbb8808cb3e" xsi:nil="true"/>
    <Como_x0020_esse_x0020_problema_x0020_aparece_x0020_entre_x0020_os_x0020_jovens_x003f_ xmlns="86243fb6-e625-4153-bf24-3dbb8808cb3e"/>
    <A_x0020_partir_x0020_do_x0020_caso_x0020_analisado_x002c__x0020_explique_x0020_como_x0020_os_x0020_conceitos_x0020_de_x0020_institui_x00e7__x00e3_o_x0020_social_x002c__x0020_socializa_x00e7__x00e3_o_x0020_e_x0020_papel_x0020_social_x0020_est_x00e3_o_x0020_interligados_x002e_ xmlns="86243fb6-e625-4153-bf24-3dbb8808cb3e"/>
    <Indentidadevisualaula4 xmlns="86243fb6-e625-4153-bf24-3dbb8808cb3e" xsi:nil="true"/>
    <Nomes xmlns="86243fb6-e625-4153-bf24-3dbb8808cb3e"/>
    <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 xmlns="86243fb6-e625-4153-bf24-3dbb8808cb3e"/>
    <entrevista xmlns="86243fb6-e625-4153-bf24-3dbb8808cb3e" xsi:nil="true"/>
    <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 xmlns="86243fb6-e625-4153-bf24-3dbb8808cb3e"/>
    <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 xmlns="86243fb6-e625-4153-bf24-3dbb8808cb3e"/>
    <Como_x0020_a_x0020_Sociologia_x0020_poderia_x0020_explicar_x0020_isso_x003f_ xmlns="86243fb6-e625-4153-bf24-3dbb8808cb3e"/>
    <Explique_x0020_por_x0020_que_x0020_uma_x0020_mesma_x0020_pessoa_x0020_pode_x0020_desempenhar_x0020_v_x00e1_rios_x0020_pap_x00e9_is_x0020_sociais_x0020_diferentes_x0020_ao_x0020_longo_x0020_de_x0020_um_x0020_mesmo_x0020_dia_x002e_ xmlns="86243fb6-e625-4153-bf24-3dbb8808cb3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 xmlns="86243fb6-e625-4153-bf24-3dbb8808cb3e"/>
    <AULASESCRITAS xmlns="86243fb6-e625-4153-bf24-3dbb8808cb3e" xsi:nil="true"/>
    <emmanuelG xmlns="86243fb6-e625-4153-bf24-3dbb8808cb3e" xsi:nil="true"/>
    <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 xmlns="86243fb6-e625-4153-bf24-3dbb8808cb3e"/>
    <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 xmlns="86243fb6-e625-4153-bf24-3dbb8808cb3e"/>
    <_ApprovalAssignedTo xmlns="86243fb6-e625-4153-bf24-3dbb8808cb3e">
      <UserInfo>
        <DisplayName/>
        <AccountId xsi:nil="true"/>
        <AccountType/>
      </UserInfo>
    </_ApprovalAssignedTo>
    <_ApprovalStatus xmlns="86243fb6-e625-4153-bf24-3dbb8808cb3e">0</_ApprovalStatus>
    <_ApprovalRespondedBy xmlns="86243fb6-e625-4153-bf24-3dbb8808cb3e">
      <UserInfo>
        <DisplayName/>
        <AccountId xsi:nil="true"/>
        <AccountType/>
      </UserInfo>
    </_ApprovalRespondedBy>
    <_ApprovalSentBy xmlns="86243fb6-e625-4153-bf24-3dbb8808cb3e">
      <UserInfo>
        <DisplayName/>
        <AccountId xsi:nil="true"/>
        <AccountType/>
      </UserInfo>
    </_ApprovalSentBy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42" ma:contentTypeDescription="Crie um novo documento." ma:contentTypeScope="" ma:versionID="41e95247f3d26be0199051f7ec3e26f0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a464040ef587764195de75a71551f205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  <xsd:element ref="ns2:entrevista" minOccurs="0"/>
                <xsd:element ref="ns2:Eduarda_x002c_Lohanaevilma" minOccurs="0"/>
                <xsd:element ref="ns2:emmanuelG" minOccurs="0"/>
                <xsd:element ref="ns2:Como_x0020_esse_x0020_problema_x0020_aparece_x0020_entre_x0020_os_x0020_jovens_x003f_"/>
                <xsd:element ref="ns2:Como_x0020_a_x0020_Sociologia_x0020_poderia_x0020_explicar_x0020_isso_x003f_"/>
                <xsd:element ref="ns2:Nomes"/>
                <xsd:element ref="ns2:TEXTO_x002d_BASE_x0020_DO_x0020_ESTUDO" minOccurs="0"/>
                <xsd:element ref="ns2: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/>
                <xsd:element ref="ns2: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/>
                <xsd:element ref="ns2: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/>
                <xsd:element ref="ns2:Explique_x0020_por_x0020_que_x0020_uma_x0020_mesma_x0020_pessoa_x0020_pode_x0020_desempenhar_x0020_v_x00e1_rios_x0020_pap_x00e9_is_x0020_sociais_x0020_diferentes_x0020_ao_x0020_longo_x0020_de_x0020_um_x0020_mesmo_x0020_dia_x002e_"/>
                <xsd:element ref="ns2: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/>
                <xsd:element ref="ns2: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/>
                <xsd:element ref="ns2:Explique_x0020_a_x0020_rela_x00e7__x00e3_o_x0020_entre_x0020_institui_x00e7__x00f5_es_x0020_sociais_x0020_e_x0020_processos_x0020_de_x0020_socializa_x00e7__x00e3_o_x0020_na_x0020_forma_x00e7__x00e3_o_x0020_dos_x0020_comportamentos_x0020_observados_x0020_no_x0020_texto_x002e_"/>
                <xsd:element ref="ns2: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/>
                <xsd:element ref="ns2:A_x0020_partir_x0020_do_x0020_caso_x0020_analisado_x002c__x0020_explique_x0020_como_x0020_os_x0020_conceitos_x0020_de_x0020_institui_x00e7__x00e3_o_x0020_social_x002c__x0020_socializa_x00e7__x00e3_o_x0020_e_x0020_papel_x0020_social_x0020_est_x00e3_o_x0020_interligados_x002e_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>
      <xsd:simpleType>
        <xsd:restriction base="dms:Text"/>
      </xsd:simpleType>
    </xsd:element>
    <xsd:element name="AULASESCRITAS" ma:index="4" nillable="true" ma:displayName="AULAS ESCRITAS" ma:description="Descrição" ma:internalName="AULASESCRITAS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internalName="Indentidadevisualaula4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  <xsd:element name="entrevista" ma:index="32" nillable="true" ma:displayName="entrevista" ma:format="Dropdown" ma:internalName="entrevista">
      <xsd:simpleType>
        <xsd:restriction base="dms:Choice">
          <xsd:enumeration value="1"/>
          <xsd:enumeration value="2"/>
          <xsd:enumeration value="3"/>
          <xsd:enumeration value="4 ou mais"/>
        </xsd:restriction>
      </xsd:simpleType>
    </xsd:element>
    <xsd:element name="Eduarda_x002c_Lohanaevilma" ma:index="33" nillable="true" ma:displayName="Eduarda ,Lohana e vilma" ma:description="Tabelafluxo de atendimento via whatsapp aula 9" ma:format="Thumbnail" ma:internalName="Eduarda_x002c_Lohanaevilma">
      <xsd:simpleType>
        <xsd:restriction base="dms:Unknown"/>
      </xsd:simpleType>
    </xsd:element>
    <xsd:element name="emmanuelG" ma:index="34" nillable="true" ma:displayName="emmanuel G" ma:format="Thumbnail" ma:internalName="emmanuelG">
      <xsd:simpleType>
        <xsd:restriction base="dms:Unknown"/>
      </xsd:simpleType>
    </xsd:element>
    <xsd:element name="Como_x0020_esse_x0020_problema_x0020_aparece_x0020_entre_x0020_os_x0020_jovens_x003f_" ma:index="35" ma:displayName="Como esse problema aparece entre os jovens?" ma:internalName="Como_x0020_esse_x0020_problema_x0020_aparece_x0020_entre_x0020_os_x0020_jovens_x003f_">
      <xsd:simpleType>
        <xsd:restriction base="dms:Note">
          <xsd:maxLength value="255"/>
        </xsd:restriction>
      </xsd:simpleType>
    </xsd:element>
    <xsd:element name="Como_x0020_a_x0020_Sociologia_x0020_poderia_x0020_explicar_x0020_isso_x003f_" ma:index="36" ma:displayName="Como a Sociologia poderia explicar isso?" ma:internalName="Como_x0020_a_x0020_Sociologia_x0020_poderia_x0020_explicar_x0020_isso_x003f_">
      <xsd:simpleType>
        <xsd:restriction base="dms:Note">
          <xsd:maxLength value="255"/>
        </xsd:restriction>
      </xsd:simpleType>
    </xsd:element>
    <xsd:element name="Nomes" ma:index="37" ma:displayName="Nomes" ma:internalName="Nomes">
      <xsd:simpleType>
        <xsd:restriction base="dms:Note">
          <xsd:maxLength value="255"/>
        </xsd:restriction>
      </xsd:simpleType>
    </xsd:element>
    <xsd:element name="TEXTO_x002d_BASE_x0020_DO_x0020_ESTUDO" ma:index="38" nillable="true" ma:displayName="TEXTO-BASE DO ESTUDO" ma:internalName="TEXTO_x002d_BASE_x0020_DO_x0020_ESTUDO">
      <xsd:simpleType>
        <xsd:restriction base="dms:Text">
          <xsd:maxLength value="255"/>
        </xsd:restriction>
      </xsd:simpleType>
    </xsd:element>
    <xsd:element 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 ma:index="39" ma:displayName="Identifique três instituições sociais presentes no caso descrito e explique brevemente qual é o papel de cada uma na organização da vida social." ma:internal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>
      <xsd:simpleType>
        <xsd:restriction base="dms:Note">
          <xsd:maxLength value="255"/>
        </xsd:restriction>
      </xsd:simpleType>
    </xsd:element>
    <xsd:element 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 ma:index="40" ma:displayName="Explique, a partir do texto, como o processo de socialização contribui para que Camila consiga agir de maneiras diferentes em cada ambiente social." ma:internal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>
      <xsd:simpleType>
        <xsd:restriction base="dms:Note">
          <xsd:maxLength value="255"/>
        </xsd:restriction>
      </xsd:simpleType>
    </xsd:element>
    <xsd:element 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 ma:index="41" ma:displayName="No texto, Camila assume a função de apresentar o trabalho em sala de aula. Explique como essa situação pode ser compreendida a partir do conceito de papel social." ma:internal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>
      <xsd:simpleType>
        <xsd:restriction base="dms:Note">
          <xsd:maxLength value="255"/>
        </xsd:restriction>
      </xsd:simpleType>
    </xsd:element>
    <xsd:element name="Explique_x0020_por_x0020_que_x0020_uma_x0020_mesma_x0020_pessoa_x0020_pode_x0020_desempenhar_x0020_v_x00e1_rios_x0020_pap_x00e9_is_x0020_sociais_x0020_diferentes_x0020_ao_x0020_longo_x0020_de_x0020_um_x0020_mesmo_x0020_dia_x002e_" ma:index="42" ma:displayName="Explique por que uma mesma pessoa pode desempenhar vários papéis sociais diferentes ao longo de um mesmo dia." ma:internalName="Explique_x0020_por_x0020_que_x0020_uma_x0020_mesma_x0020_pessoa_x0020_pode_x0020_desempenhar_x0020_v_x00e1_rios_x0020_pap_x00e9_is_x0020_sociais_x0020_diferentes_x0020_ao_x0020_longo_x0020_de_x0020_um_x0020_mesmo_x0020_dia_x002e_">
      <xsd:simpleType>
        <xsd:restriction base="dms:Note">
          <xsd:maxLength value="255"/>
        </xsd:restriction>
      </xsd:simpleType>
    </xsd:element>
    <xsd:element 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 ma:index="43" ma:displayName="A partir das ideias de Erving Goffman, explique por que Camila controla sua forma de falar e de se comportar em determinados contextos sociais." ma:internal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>
      <xsd:simpleType>
        <xsd:restriction base="dms:Note">
          <xsd:maxLength value="255"/>
        </xsd:restriction>
      </xsd:simpleType>
    </xsd:element>
    <xsd:element 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 ma:index="44" ma:displayName="Utilizando o conceito de apresentação de si, explique como o comportamento de Camila no ambiente de trabalho pode ser interpretado sociologicamente." ma:internal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>
      <xsd:simpleType>
        <xsd:restriction base="dms:Note">
          <xsd:maxLength value="255"/>
        </xsd:restriction>
      </xsd:simpleType>
    </xsd:element>
    <xsd:element 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 ma:index="45" ma:displayName="Explique a relação entre instituições sociais e processos de socialização na formação dos comportamentos observados no texto." ma:internal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>
      <xsd:simpleType>
        <xsd:restriction base="dms:Note">
          <xsd:maxLength value="255"/>
        </xsd:restriction>
      </xsd:simpleType>
    </xsd:element>
    <xsd:element 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 ma:index="46" ma:displayName="O caso apresentado mostra que diferentes ambientes possuem normas e expectativas específicas. Explique por que a existência dessas normas é importante para o funcionamento da vida social." ma:internal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>
      <xsd:simpleType>
        <xsd:restriction base="dms:Note">
          <xsd:maxLength value="255"/>
        </xsd:restriction>
      </xsd:simpleType>
    </xsd:element>
    <xsd:element 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 ma:index="47" ma:displayName="A partir do caso analisado, explique como os conceitos de instituição social, socialização e papel social estão interligados." ma:internal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23BF48-63F0-43D2-8BA3-567121EA52F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6A4669-C59F-4B50-B5FD-99E229DCDE17}">
  <ds:schemaRefs>
    <ds:schemaRef ds:uri="http://schemas.microsoft.com/office/2006/metadata/properties"/>
    <ds:schemaRef ds:uri="http://schemas.microsoft.com/office/infopath/2007/PartnerControls"/>
    <ds:schemaRef ds:uri="86243fb6-e625-4153-bf24-3dbb8808cb3e"/>
    <ds:schemaRef ds:uri="29c85e31-c0e5-4fba-ab60-4fce8ca17cbc"/>
  </ds:schemaRefs>
</ds:datastoreItem>
</file>

<file path=customXml/itemProps3.xml><?xml version="1.0" encoding="utf-8"?>
<ds:datastoreItem xmlns:ds="http://schemas.openxmlformats.org/officeDocument/2006/customXml" ds:itemID="{9FA5B7F1-D5B7-42EF-A167-0A2ACEF7FF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243fb6-e625-4153-bf24-3dbb8808cb3e"/>
    <ds:schemaRef ds:uri="29c85e31-c0e5-4fba-ab60-4fce8ca17c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Claudenir Ferreira</dc:creator>
  <cp:keywords/>
  <dc:description/>
  <cp:lastModifiedBy>LEONARDO LUCAS DE CARVALHO</cp:lastModifiedBy>
  <cp:revision/>
  <dcterms:created xsi:type="dcterms:W3CDTF">2025-07-17T01:29:16Z</dcterms:created>
  <dcterms:modified xsi:type="dcterms:W3CDTF">2026-03-17T22:33:08Z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  <property fmtid="{D5CDD505-2E9C-101B-9397-08002B2CF9AE}" pid="3" name="MediaServiceImageTags">
    <vt:lpwstr/>
  </property>
</Properties>
</file>